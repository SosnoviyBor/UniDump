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Data\Homewerk\Year 4 Semester 1\System modelling\Lab 8\"/>
    </mc:Choice>
  </mc:AlternateContent>
  <bookViews>
    <workbookView xWindow="0" yWindow="60" windowWidth="23040" windowHeight="11070" tabRatio="790" firstSheet="1" activeTab="1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</definedName>
    <definedName name="ExternalData_1" localSheetId="4" hidden="1">CounterStatsByRep!$A$1:$G$2</definedName>
    <definedName name="ExternalData_1" localSheetId="2" hidden="1">DiscreteTimeStatsByRep!$A$1:$K$7</definedName>
    <definedName name="ExternalData_1" localSheetId="6" hidden="1">FrequencyStatsByRep!$A$1:$K$2</definedName>
    <definedName name="ExternalData_1" localSheetId="5" hidden="1">OutputStatsByRep!$A$1:$H$4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62913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O2" i="20" s="1" a="1"/>
  <c r="O2" i="20" s="1"/>
  <c r="I4" i="20"/>
  <c r="O3" i="20" s="1" a="1"/>
  <c r="O3" i="20" s="1"/>
  <c r="J2" i="20" a="1"/>
  <c r="J2" i="20" s="1"/>
  <c r="J3" i="20" a="1"/>
  <c r="J3" i="20" s="1"/>
  <c r="J4" i="20" a="1"/>
  <c r="J4" i="20" s="1"/>
  <c r="K2" i="20" a="1"/>
  <c r="K2" i="20" s="1"/>
  <c r="K3" i="20" a="1"/>
  <c r="K3" i="20" s="1"/>
  <c r="K4" i="20" a="1"/>
  <c r="K4" i="20" s="1"/>
  <c r="L2" i="20" a="1"/>
  <c r="L2" i="20" s="1"/>
  <c r="L4" i="20" a="1"/>
  <c r="L4" i="20" s="1"/>
  <c r="M2" i="20" a="1"/>
  <c r="M2" i="20" s="1"/>
  <c r="M3" i="20" a="1"/>
  <c r="M3" i="20" s="1"/>
  <c r="M4" i="20" a="1"/>
  <c r="M4" i="20" s="1"/>
  <c r="P2" i="20" a="1"/>
  <c r="P2" i="20" s="1"/>
  <c r="P3" i="20" a="1"/>
  <c r="P3" i="20" s="1"/>
  <c r="P4" i="20" a="1"/>
  <c r="P4" i="20" s="1"/>
  <c r="M2" i="18"/>
  <c r="O2" i="18" s="1" a="1"/>
  <c r="O2" i="18" s="1"/>
  <c r="N2" i="18" a="1"/>
  <c r="N2" i="18" s="1"/>
  <c r="P2" i="18" a="1"/>
  <c r="P2" i="18" s="1"/>
  <c r="Q2" i="18" a="1"/>
  <c r="Q2" i="18" s="1"/>
  <c r="S2" i="18" a="1"/>
  <c r="S2" i="18" s="1"/>
  <c r="T2" i="18" a="1"/>
  <c r="T2" i="18" s="1"/>
  <c r="L2" i="17"/>
  <c r="L3" i="17"/>
  <c r="L4" i="17"/>
  <c r="L5" i="17"/>
  <c r="L6" i="17"/>
  <c r="L7" i="17"/>
  <c r="O3" i="17" s="1" a="1"/>
  <c r="O3" i="17" s="1"/>
  <c r="M2" i="17" a="1"/>
  <c r="M2" i="17" s="1"/>
  <c r="M3" i="17" a="1"/>
  <c r="M3" i="17" s="1"/>
  <c r="M4" i="17" a="1"/>
  <c r="M4" i="17" s="1"/>
  <c r="W4" i="17" s="1"/>
  <c r="M5" i="17" a="1"/>
  <c r="M5" i="17" s="1"/>
  <c r="M6" i="17" a="1"/>
  <c r="M6" i="17" s="1"/>
  <c r="M7" i="17" a="1"/>
  <c r="M7" i="17" s="1"/>
  <c r="N5" i="17" a="1"/>
  <c r="N5" i="17" s="1"/>
  <c r="N6" i="17" a="1"/>
  <c r="N6" i="17" s="1"/>
  <c r="N7" i="17" a="1"/>
  <c r="N7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S2" i="17" a="1"/>
  <c r="S2" i="17" s="1"/>
  <c r="S5" i="17" a="1"/>
  <c r="S5" i="17" s="1"/>
  <c r="S6" i="17" a="1"/>
  <c r="S6" i="17" s="1"/>
  <c r="S7" i="17" a="1"/>
  <c r="S7" i="17" s="1"/>
  <c r="T2" i="17" a="1"/>
  <c r="T2" i="17" s="1"/>
  <c r="T4" i="17" a="1"/>
  <c r="T4" i="17" s="1"/>
  <c r="T5" i="17" a="1"/>
  <c r="T5" i="17" s="1"/>
  <c r="T6" i="17" a="1"/>
  <c r="T6" i="17" s="1"/>
  <c r="T7" i="17" a="1"/>
  <c r="T7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 s="1"/>
  <c r="G2" i="16"/>
  <c r="N4" i="20" l="1"/>
  <c r="O4" i="20" a="1"/>
  <c r="O4" i="20" s="1"/>
  <c r="N2" i="20"/>
  <c r="L3" i="20" a="1"/>
  <c r="L3" i="20" s="1"/>
  <c r="N3" i="20" s="1"/>
  <c r="R2" i="18"/>
  <c r="U2" i="18"/>
  <c r="O6" i="17" a="1"/>
  <c r="O6" i="17" s="1"/>
  <c r="O2" i="17" a="1"/>
  <c r="O2" i="17" s="1"/>
  <c r="T3" i="17" a="1"/>
  <c r="T3" i="17" s="1"/>
  <c r="Y4" i="17"/>
  <c r="O4" i="17" a="1"/>
  <c r="O4" i="17" s="1"/>
  <c r="S4" i="17" a="1"/>
  <c r="S4" i="17" s="1"/>
  <c r="O7" i="17" a="1"/>
  <c r="O7" i="17" s="1"/>
  <c r="S3" i="17" a="1"/>
  <c r="S3" i="17" s="1"/>
  <c r="W7" i="17"/>
  <c r="Y7" i="17"/>
  <c r="Y6" i="17"/>
  <c r="Q6" i="17" s="1"/>
  <c r="W6" i="17"/>
  <c r="W5" i="17"/>
  <c r="Y5" i="17"/>
  <c r="W3" i="17"/>
  <c r="Y3" i="17"/>
  <c r="Q3" i="17" s="1"/>
  <c r="W2" i="17"/>
  <c r="Y2" i="17"/>
  <c r="Q2" i="17" s="1"/>
  <c r="N4" i="17" a="1"/>
  <c r="N4" i="17" s="1"/>
  <c r="N3" i="17" a="1"/>
  <c r="N3" i="17" s="1"/>
  <c r="O5" i="17" a="1"/>
  <c r="O5" i="17" s="1"/>
  <c r="N2" i="17" a="1"/>
  <c r="N2" i="17" s="1"/>
  <c r="Q7" i="17" l="1"/>
  <c r="Q4" i="17"/>
  <c r="Q5" i="17"/>
</calcChain>
</file>

<file path=xl/connections.xml><?xml version="1.0" encoding="utf-8"?>
<connections xmlns="http://schemas.openxmlformats.org/spreadsheetml/2006/main">
  <connection id="1" name="Connection" type="1" refreshedVersion="6" saveData="1">
    <dbPr connection="Driver={SQLite3 ODBC Driver};Database=e:\data\homewerk\year 4 semester 1\system modelling\lab 8\task2.db;StepAPI=;SyncPragma=;NoTXN=;Timeout=;ShortNames=;LongNames=;NoCreat=;NoWCHAR=;FKSupport=;JournalMode=;OEMCP=;LoadExt=;BigInt=;JDConv=;" command="select * from FrequencyStatsQuery"/>
  </connection>
  <connection id="2" name="Connection1" type="1" refreshedVersion="6" saveData="1">
    <dbPr connection="Driver={SQLite3 ODBC Driver};Database=e:\data\homewerk\year 4 semester 1\system modelling\lab 8\task2.db;StepAPI=;SyncPragma=;NoTXN=;Timeout=;ShortNames=;LongNames=;NoCreat=;NoWCHAR=;FKSupport=;JournalMode=;OEMCP=;LoadExt=;BigInt=;JDConv=;" command="select * from ProjectQuery"/>
  </connection>
  <connection id="3" name="Connection2" type="1" refreshedVersion="6" saveData="1">
    <dbPr connection="Driver={SQLite3 ODBC Driver};Database=e:\data\homewerk\year 4 semester 1\system modelling\lab 8\task2.db;StepAPI=;SyncPragma=;NoTXN=;Timeout=;ShortNames=;LongNames=;NoCreat=;NoWCHAR=;FKSupport=;JournalMode=;OEMCP=;LoadExt=;BigInt=;JDConv=;" command="select * from DiscreteTimeStatsQuery"/>
  </connection>
  <connection id="4" name="Connection3" type="1" refreshedVersion="6" saveData="1">
    <dbPr connection="Driver={SQLite3 ODBC Driver};Database=e:\data\homewerk\year 4 semester 1\system modelling\lab 8\task2.db;StepAPI=;SyncPragma=;NoTXN=;Timeout=;ShortNames=;LongNames=;NoCreat=;NoWCHAR=;FKSupport=;JournalMode=;OEMCP=;LoadExt=;BigInt=;JDConv=;" command="select * from ContinuousTimeStatsQuery"/>
  </connection>
  <connection id="5" name="Connection4" type="1" refreshedVersion="6" saveData="1">
    <dbPr connection="Driver={SQLite3 ODBC Driver};Database=e:\data\homewerk\year 4 semester 1\system modelling\lab 8\task2.db;StepAPI=;SyncPragma=;NoTXN=;Timeout=;ShortNames=;LongNames=;NoCreat=;NoWCHAR=;FKSupport=;JournalMode=;OEMCP=;LoadExt=;BigInt=;JDConv=;" command="select * from CounterStatsQuery"/>
  </connection>
  <connection id="6" name="Connection5" type="1" refreshedVersion="6" saveData="1">
    <dbPr connection="Driver={SQLite3 ODBC Driver};Database=e:\data\homewerk\year 4 semester 1\system modelling\lab 8\task2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<sst xmlns="http://schemas.openxmlformats.org/spreadsheetml/2006/main" count="243" uniqueCount="86">
  <si>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</si>
  <si>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</si>
  <si>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</si>
  <si>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</si>
  <si>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</si>
  <si>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</si>
  <si>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</si>
  <si>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</si>
  <si>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</si>
  <si>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</si>
  <si>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</si>
  <si>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</si>
  <si>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</si>
  <si>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</si>
  <si>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</si>
  <si>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</si>
  <si>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</si>
  <si>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</si>
  <si>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</si>
  <si>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</si>
  <si>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</si>
  <si>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</si>
  <si>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</si>
  <si>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</si>
  <si>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</si>
  <si>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</si>
  <si>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</si>
  <si>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</si>
  <si>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</si>
  <si>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</si>
  <si>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</si>
  <si>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</si>
  <si>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</si>
  <si>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</si>
  <si>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</si>
  <si>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</si>
  <si>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</si>
  <si>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</si>
  <si>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</si>
  <si>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</si>
  <si>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</si>
  <si>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</si>
  <si>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</si>
  <si>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</si>
  <si>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</si>
  <si>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</si>
  <si>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</si>
  <si>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</si>
  <si>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</si>
  <si>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</si>
  <si>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</si>
  <si>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</si>
  <si>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</si>
  <si>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</si>
  <si>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</si>
  <si>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</si>
  <si>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</si>
  <si>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</si>
  <si>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</si>
  <si>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</si>
  <si>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</si>
  <si>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</si>
  <si>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</si>
  <si>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</si>
  <si>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</si>
  <si>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</si>
  <si>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</si>
  <si>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</si>
  <si>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</si>
  <si>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E:\Data\Homewerk\Year 4 Semester 1\System modelling\Lab 8\task2.p</t>
  </si>
  <si>
    <t>2023-12-21 01:50:57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</si>
  <si>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</si>
  <si>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</si>
  <si>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</si>
  <si>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</si>
  <si>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</si>
  <si>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</si>
  <si>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</si>
  <si>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</si>
  <si>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WIP</t>
  </si>
  <si>
    <t>Entity 1.NumberIn</t>
  </si>
  <si>
    <t>Number In</t>
  </si>
  <si>
    <t>Entity 1.NumberOut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</si>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</sst>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NumberFormat="1"/>
    <xf numFmtId="0" fontId="0" fillId="0" borderId="0" xfId="0" pivotButton="1"/>
    <xf numFmtId="2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76"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oryaxta" refreshedDate="45281.07713622685" createdVersion="7" refreshedVersion="6" minRefreshableVersion="3" recordCount="1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oryaxta" refreshedDate="45281.07713622685" createdVersion="7" refreshedVersion="6" minRefreshableVersion="3" recordCount="6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99">
        <s v="Entity 1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  <s v="Waiting Time" u="1"/>
      </sharedItems>
    </cacheField>
    <cacheField name="Source" numFmtId="0">
      <sharedItems containsBlank="1" count="5">
        <s v="Entity"/>
        <m u="1"/>
        <s v="Queue" u="1"/>
        <s v="Process" u="1"/>
        <s v="User Specified" u="1"/>
      </sharedItems>
    </cacheField>
    <cacheField name="Average" numFmtId="0">
      <sharedItems containsSemiMixedTypes="0" containsString="0" containsNumber="1" minValue="0" maxValue="5.3642075489478396"/>
    </cacheField>
    <cacheField name="BatchMeansHalfWidth" numFmtId="0">
      <sharedItems containsSemiMixedTypes="0" containsString="0" containsNumber="1" minValue="0" maxValue="0.45825355604866702"/>
    </cacheField>
    <cacheField name="Minimum" numFmtId="0">
      <sharedItems containsSemiMixedTypes="0" containsString="0" containsNumber="1" minValue="0" maxValue="2.54810787589577E-3"/>
    </cacheField>
    <cacheField name="Maximum" numFmtId="0">
      <sharedItems containsSemiMixedTypes="0" containsString="0" containsNumber="1" minValue="0" maxValue="89.837516317812302"/>
    </cacheField>
    <cacheField name="NumberObservations" numFmtId="0">
      <sharedItems containsSemiMixedTypes="0" containsString="0" containsNumber="1" containsInteger="1" minValue="3976" maxValue="3976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.3642075489478396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.3642075489478396"/>
    </cacheField>
    <cacheField name="MaximumAverage" numFmtId="0">
      <sharedItems containsSemiMixedTypes="0" containsString="0" containsNumber="1" minValue="0" maxValue="5.3642075489478396"/>
    </cacheField>
    <cacheField name="OverallMinimum" numFmtId="0">
      <sharedItems containsSemiMixedTypes="0" containsString="0" containsNumber="1" minValue="0" maxValue="2.54810787589577E-3"/>
    </cacheField>
    <cacheField name="OverallMaximum" numFmtId="0">
      <sharedItems containsSemiMixedTypes="0" containsString="0" containsNumber="1" minValue="0" maxValue="89.837516317812302"/>
    </cacheField>
    <cacheField name="AverageNumberObservations" numFmtId="0">
      <sharedItems containsSemiMixedTypes="0" containsString="0" containsNumber="1" containsInteger="1" minValue="3976" maxValue="3976"/>
    </cacheField>
    <cacheField name="SummaryHalfWidth" numFmtId="0">
      <sharedItems containsSemiMixedTypes="0" containsString="0" containsNumber="1" minValue="0" maxValue="0.45825355604866702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oryaxta" refreshedDate="45281.077136458334" createdVersion="7" refreshedVersion="6" minRefreshableVersion="3" recordCount="3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79">
        <s v="Entity 1.NumberIn"/>
        <s v="Entity 1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3976" maxValue="400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3976" maxValue="4001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3976" maxValue="4001"/>
    </cacheField>
    <cacheField name="Maximum" numFmtId="0">
      <sharedItems containsSemiMixedTypes="0" containsString="0" containsNumber="1" containsInteger="1" minValue="3976" maxValue="4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Boryaxta" refreshedDate="45281.077136689812" createdVersion="7" refreshedVersion="6" minRefreshableVersion="3" recordCount="1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Boryaxta" refreshedDate="45281.077136805558" createdVersion="7" refreshedVersion="6" minRefreshableVersion="3" recordCount="1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4">
        <s v="Entity 1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m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Blank="1" count="5">
        <s v="Entity"/>
        <m u="1"/>
        <s v="Queue" u="1"/>
        <s v="Resource" u="1"/>
        <s v="User Specified" u="1"/>
      </sharedItems>
    </cacheField>
    <cacheField name="Average" numFmtId="0">
      <sharedItems containsSemiMixedTypes="0" containsString="0" containsNumber="1" minValue="21.5585892146165" maxValue="21.5585892146165"/>
    </cacheField>
    <cacheField name="BatchMeansHalfWidth" numFmtId="0">
      <sharedItems containsSemiMixedTypes="0" containsString="0" containsNumber="1" containsInteger="1" minValue="3E+20" maxValue="3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43" maxValue="43"/>
    </cacheField>
    <cacheField name="LastRecordedValue" numFmtId="0">
      <sharedItems containsSemiMixedTypes="0" containsString="0" containsNumber="1" containsInteger="1" minValue="25" maxValue="2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21.5585892146165" maxValue="21.5585892146165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21.5585892146165" maxValue="21.5585892146165"/>
    </cacheField>
    <cacheField name="MaximumAverage" numFmtId="0">
      <sharedItems containsSemiMixedTypes="0" containsString="0" containsNumber="1" minValue="21.5585892146165" maxValue="21.5585892146165"/>
    </cacheField>
    <cacheField name="SummaryHalfWidth" numFmtId="0">
      <sharedItems containsSemiMixedTypes="0" containsString="0" containsNumber="1" containsInteger="1" minValue="3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">
  <r>
    <x v="0"/>
    <s v="2023-12-21 01:50:57"/>
    <n v="1"/>
    <x v="0"/>
    <x v="0"/>
    <x v="0"/>
    <n v="0"/>
    <n v="0"/>
    <n v="0"/>
    <n v="0"/>
    <n v="3976"/>
    <s v="Unnamed ProjectEntity 1NVA TimeEntity"/>
    <n v="1"/>
    <n v="0"/>
    <n v="0"/>
    <n v="0.95"/>
    <n v="4E+20"/>
    <n v="0"/>
    <n v="0"/>
    <n v="0"/>
    <n v="0"/>
    <n v="3976"/>
    <n v="0"/>
    <n v="1"/>
    <n v="1"/>
  </r>
  <r>
    <x v="0"/>
    <s v="2023-12-21 01:50:57"/>
    <n v="1"/>
    <x v="0"/>
    <x v="1"/>
    <x v="0"/>
    <n v="0"/>
    <n v="0"/>
    <n v="0"/>
    <n v="0"/>
    <n v="3976"/>
    <s v="Unnamed ProjectEntity 1Other TimeEntity"/>
    <n v="1"/>
    <n v="0"/>
    <n v="0"/>
    <n v="0.95"/>
    <n v="4E+20"/>
    <n v="0"/>
    <n v="0"/>
    <n v="0"/>
    <n v="0"/>
    <n v="3976"/>
    <n v="0"/>
    <n v="1"/>
    <n v="1"/>
  </r>
  <r>
    <x v="0"/>
    <s v="2023-12-21 01:50:57"/>
    <n v="1"/>
    <x v="0"/>
    <x v="2"/>
    <x v="0"/>
    <n v="5.3642075489478396"/>
    <n v="0.45825355604866702"/>
    <n v="2.54810787589577E-3"/>
    <n v="89.837516317812302"/>
    <n v="3976"/>
    <s v="Unnamed ProjectEntity 1Total TimeEntity"/>
    <n v="1"/>
    <n v="5.3642075489478396"/>
    <n v="0"/>
    <n v="0.95"/>
    <n v="4E+20"/>
    <n v="5.3642075489478396"/>
    <n v="5.3642075489478396"/>
    <n v="2.54810787589577E-3"/>
    <n v="89.837516317812302"/>
    <n v="3976"/>
    <n v="0.45825355604866702"/>
    <n v="1"/>
    <n v="1"/>
  </r>
  <r>
    <x v="0"/>
    <s v="2023-12-21 01:50:57"/>
    <n v="1"/>
    <x v="0"/>
    <x v="3"/>
    <x v="0"/>
    <n v="0"/>
    <n v="0"/>
    <n v="0"/>
    <n v="0"/>
    <n v="3976"/>
    <s v="Unnamed ProjectEntity 1Transfer TimeEntity"/>
    <n v="1"/>
    <n v="0"/>
    <n v="0"/>
    <n v="0.95"/>
    <n v="4E+20"/>
    <n v="0"/>
    <n v="0"/>
    <n v="0"/>
    <n v="0"/>
    <n v="3976"/>
    <n v="0"/>
    <n v="1"/>
    <n v="1"/>
  </r>
  <r>
    <x v="0"/>
    <s v="2023-12-21 01:50:57"/>
    <n v="1"/>
    <x v="0"/>
    <x v="4"/>
    <x v="0"/>
    <n v="5.3642075489478396"/>
    <n v="0.45825355604866702"/>
    <n v="2.54810787589577E-3"/>
    <n v="89.837516317812302"/>
    <n v="3976"/>
    <s v="Unnamed ProjectEntity 1VA TimeEntity"/>
    <n v="1"/>
    <n v="5.3642075489478396"/>
    <n v="0"/>
    <n v="0.95"/>
    <n v="4E+20"/>
    <n v="5.3642075489478396"/>
    <n v="5.3642075489478396"/>
    <n v="2.54810787589577E-3"/>
    <n v="89.837516317812302"/>
    <n v="3976"/>
    <n v="0.45825355604866702"/>
    <n v="1"/>
    <n v="1"/>
  </r>
  <r>
    <x v="0"/>
    <s v="2023-12-21 01:50:57"/>
    <n v="1"/>
    <x v="0"/>
    <x v="5"/>
    <x v="0"/>
    <n v="0"/>
    <n v="0"/>
    <n v="0"/>
    <n v="0"/>
    <n v="3976"/>
    <s v="Unnamed ProjectEntity 1Wait TimeEntity"/>
    <n v="1"/>
    <n v="0"/>
    <n v="0"/>
    <n v="0.95"/>
    <n v="4E+20"/>
    <n v="0"/>
    <n v="0"/>
    <n v="0"/>
    <n v="0"/>
    <n v="3976"/>
    <n v="0"/>
    <n v="1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">
  <r>
    <x v="0"/>
    <s v="2023-12-21 01:50:57"/>
    <n v="1"/>
    <x v="0"/>
    <x v="0"/>
    <x v="0"/>
    <n v="4001"/>
    <n v="0"/>
    <s v="Unnamed ProjectEntity 1.NumberInNumber InEntity"/>
    <n v="1"/>
    <n v="4001"/>
    <n v="0"/>
    <n v="0.95"/>
    <n v="4E+20"/>
    <n v="4001"/>
    <n v="4001"/>
  </r>
  <r>
    <x v="0"/>
    <s v="2023-12-21 01:50:57"/>
    <n v="1"/>
    <x v="1"/>
    <x v="1"/>
    <x v="0"/>
    <n v="3976"/>
    <n v="0"/>
    <s v="Unnamed ProjectEntity 1.NumberOutNumber OutEntity"/>
    <n v="1"/>
    <n v="3976"/>
    <n v="0"/>
    <n v="0.95"/>
    <n v="4E+20"/>
    <n v="3976"/>
    <n v="3976"/>
  </r>
  <r>
    <x v="0"/>
    <s v="2023-12-21 01:50:57"/>
    <n v="1"/>
    <x v="2"/>
    <x v="1"/>
    <x v="1"/>
    <n v="3976"/>
    <n v="0"/>
    <s v="Unnamed ProjectSystem.NumberOutNumber OutSystem"/>
    <n v="1"/>
    <n v="3976"/>
    <n v="0"/>
    <n v="0.95"/>
    <n v="4E+20"/>
    <n v="3976"/>
    <n v="397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x v="0"/>
    <s v="2023-12-21 01:50:57"/>
    <n v="1"/>
    <x v="0"/>
    <x v="0"/>
    <x v="0"/>
    <n v="21.5585892146165"/>
    <n v="3E+20"/>
    <n v="0"/>
    <n v="43"/>
    <n v="25"/>
    <n v="0"/>
    <s v="Unnamed ProjectEntity 1WIPEntity"/>
    <n v="1"/>
    <n v="21.5585892146165"/>
    <n v="0"/>
    <n v="0.95"/>
    <n v="4E+20"/>
    <n v="21.5585892146165"/>
    <n v="21.5585892146165"/>
    <n v="3E+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FrequencyPivot" cacheId="40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5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DiscreteTimePivot" cacheId="46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2:M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11"/>
        <item m="1" x="34"/>
        <item m="1" x="6"/>
        <item m="1" x="86"/>
        <item m="1" x="69"/>
        <item m="1" x="39"/>
        <item m="1" x="95"/>
        <item m="1" x="27"/>
        <item m="1" x="31"/>
        <item x="0"/>
        <item m="1" x="64"/>
        <item m="1" x="76"/>
        <item m="1" x="81"/>
        <item m="1" x="5"/>
        <item m="1" x="33"/>
        <item m="1" x="23"/>
        <item m="1" x="98"/>
        <item m="1" x="93"/>
        <item m="1" x="21"/>
        <item m="1" x="15"/>
        <item m="1" x="87"/>
        <item m="1" x="7"/>
        <item m="1" x="40"/>
        <item m="1" x="26"/>
        <item m="1" x="51"/>
        <item m="1" x="78"/>
        <item m="1" x="42"/>
        <item m="1" x="12"/>
        <item m="1" x="36"/>
        <item m="1" x="65"/>
        <item m="1" x="55"/>
        <item m="1" x="13"/>
        <item m="1" x="72"/>
        <item m="1" x="4"/>
        <item m="1" x="92"/>
        <item m="1" x="60"/>
        <item m="1" x="80"/>
        <item m="1" x="35"/>
        <item m="1" x="94"/>
        <item m="1" x="63"/>
        <item m="1" x="17"/>
        <item m="1" x="54"/>
        <item m="1" x="68"/>
        <item m="1" x="79"/>
        <item m="1" x="85"/>
        <item m="1" x="3"/>
        <item m="1" x="16"/>
        <item m="1" x="25"/>
        <item m="1" x="18"/>
        <item m="1" x="2"/>
        <item m="1" x="77"/>
        <item m="1" x="89"/>
        <item m="1" x="29"/>
        <item m="1" x="59"/>
        <item m="1" x="20"/>
        <item m="1" x="37"/>
        <item m="1" x="24"/>
        <item m="1" x="45"/>
        <item m="1" x="32"/>
        <item m="1" x="52"/>
        <item m="1" x="38"/>
        <item m="1" x="61"/>
        <item m="1" x="46"/>
        <item m="1" x="66"/>
        <item m="1" x="53"/>
        <item m="1" x="74"/>
        <item m="1" x="67"/>
        <item m="1" x="82"/>
        <item m="1" x="90"/>
        <item m="1" x="70"/>
        <item m="1" x="49"/>
        <item m="1" x="30"/>
        <item m="1" x="43"/>
        <item m="1" x="14"/>
        <item m="1" x="19"/>
        <item m="1" x="28"/>
        <item m="1" x="56"/>
        <item m="1" x="91"/>
        <item m="1" x="84"/>
        <item m="1" x="71"/>
        <item m="1" x="44"/>
        <item m="1" x="57"/>
        <item m="1" x="48"/>
        <item m="1" x="73"/>
        <item m="1" x="58"/>
        <item m="1" x="41"/>
        <item m="1" x="47"/>
        <item m="1" x="10"/>
        <item m="1" x="50"/>
        <item m="1" x="62"/>
        <item m="1" x="75"/>
        <item m="1" x="83"/>
        <item m="1" x="88"/>
        <item m="1" x="97"/>
        <item m="1" x="8"/>
        <item m="1" x="22"/>
        <item m="1" x="96"/>
        <item m="1" x="9"/>
        <item m="1" x="1"/>
      </items>
    </pivotField>
    <pivotField axis="axisRow" compact="0" outline="0" showAll="0" defaultSubtotal="0">
      <items count="12">
        <item m="1" x="10"/>
        <item x="0"/>
        <item x="1"/>
        <item x="2"/>
        <item x="3"/>
        <item x="4"/>
        <item x="5"/>
        <item m="1" x="11"/>
        <item m="1" x="7"/>
        <item m="1" x="8"/>
        <item m="1" x="9"/>
        <item m="1" x="6"/>
      </items>
    </pivotField>
    <pivotField axis="axisRow" compact="0" outline="0" showAll="0" defaultSubtotal="0">
      <items count="5">
        <item x="0"/>
        <item m="1" x="2"/>
        <item m="1" x="4"/>
        <item m="1" x="3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6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OutputPivot" cacheId="52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9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2"/>
        <item m="1" x="62"/>
        <item m="1" x="49"/>
        <item m="1" x="66"/>
        <item m="1" x="51"/>
        <item x="0"/>
        <item x="1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5"/>
        <item m="1" x="17"/>
        <item m="1" x="78"/>
        <item m="1" x="45"/>
        <item m="1" x="12"/>
        <item m="1" x="73"/>
        <item m="1" x="69"/>
        <item m="1" x="46"/>
        <item m="1" x="13"/>
        <item m="1" x="74"/>
        <item m="1" x="70"/>
        <item m="1" x="8"/>
        <item m="1" x="42"/>
        <item m="1" x="26"/>
        <item m="1" x="16"/>
        <item m="1" x="67"/>
        <item m="1" x="38"/>
        <item m="1" x="68"/>
        <item m="1" x="39"/>
        <item m="1" x="25"/>
        <item m="1" x="20"/>
        <item m="1" x="47"/>
        <item m="1" x="22"/>
        <item m="1" x="77"/>
        <item m="1" x="71"/>
        <item m="1" x="21"/>
        <item m="1" x="19"/>
        <item m="1" x="64"/>
        <item m="1" x="72"/>
        <item m="1" x="9"/>
        <item m="1" x="27"/>
        <item m="1" x="40"/>
        <item m="1" x="61"/>
        <item m="1" x="76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15"/>
      <x/>
      <x/>
    </i>
    <i r="1">
      <x v="16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CounterPivot" cacheId="58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ContinuousTimePivot" cacheId="64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4">
        <item m="1" x="16"/>
        <item m="1" x="7"/>
        <item m="1" x="23"/>
        <item m="1" x="32"/>
        <item m="1" x="45"/>
        <item m="1" x="44"/>
        <item m="1" x="8"/>
        <item m="1" x="109"/>
        <item m="1" x="87"/>
        <item m="1" x="50"/>
        <item m="1" x="37"/>
        <item m="1" x="41"/>
        <item x="0"/>
        <item m="1" x="26"/>
        <item m="1" x="108"/>
        <item m="1" x="30"/>
        <item m="1" x="81"/>
        <item m="1" x="95"/>
        <item m="1" x="5"/>
        <item m="1" x="31"/>
        <item m="1" x="118"/>
        <item m="1" x="20"/>
        <item m="1" x="110"/>
        <item m="1" x="9"/>
        <item m="1" x="36"/>
        <item m="1" x="62"/>
        <item m="1" x="6"/>
        <item m="1" x="12"/>
        <item m="1" x="82"/>
        <item m="1" x="63"/>
        <item m="1" x="97"/>
        <item m="1" x="53"/>
        <item m="1" x="17"/>
        <item m="1" x="47"/>
        <item m="1" x="83"/>
        <item m="1" x="68"/>
        <item m="1" x="18"/>
        <item m="1" x="28"/>
        <item m="1" x="90"/>
        <item m="1" x="4"/>
        <item m="1" x="117"/>
        <item m="1" x="75"/>
        <item m="1" x="15"/>
        <item m="1" x="100"/>
        <item m="1" x="46"/>
        <item m="1" x="119"/>
        <item m="1" x="80"/>
        <item m="1" x="22"/>
        <item m="1" x="67"/>
        <item m="1" x="86"/>
        <item m="1" x="99"/>
        <item m="1" x="107"/>
        <item m="1" x="116"/>
        <item m="1" x="3"/>
        <item m="1" x="21"/>
        <item m="1" x="35"/>
        <item m="1" x="24"/>
        <item m="1" x="2"/>
        <item m="1" x="96"/>
        <item m="1" x="113"/>
        <item m="1" x="39"/>
        <item m="1" x="74"/>
        <item m="1" x="27"/>
        <item m="1" x="48"/>
        <item m="1" x="33"/>
        <item m="1" x="57"/>
        <item m="1" x="42"/>
        <item m="1" x="64"/>
        <item m="1" x="49"/>
        <item m="1" x="76"/>
        <item m="1" x="58"/>
        <item m="1" x="84"/>
        <item m="1" x="65"/>
        <item m="1" x="93"/>
        <item m="1" x="77"/>
        <item m="1" x="98"/>
        <item m="1" x="85"/>
        <item m="1" x="102"/>
        <item m="1" x="114"/>
        <item m="1" x="104"/>
        <item m="1" x="88"/>
        <item m="1" x="61"/>
        <item m="1" x="40"/>
        <item m="1" x="55"/>
        <item m="1" x="19"/>
        <item m="1" x="25"/>
        <item m="1" x="34"/>
        <item m="1" x="38"/>
        <item m="1" x="70"/>
        <item m="1" x="115"/>
        <item m="1" x="105"/>
        <item m="1" x="89"/>
        <item m="1" x="56"/>
        <item m="1" x="123"/>
        <item m="1" x="72"/>
        <item m="1" x="60"/>
        <item m="1" x="92"/>
        <item m="1" x="73"/>
        <item m="1" x="52"/>
        <item m="1" x="59"/>
        <item m="1" x="13"/>
        <item m="1" x="78"/>
        <item m="1" x="94"/>
        <item m="1" x="103"/>
        <item m="1" x="111"/>
        <item m="1" x="122"/>
        <item m="1" x="10"/>
        <item m="1" x="29"/>
        <item m="1" x="121"/>
        <item m="1" x="11"/>
        <item m="1" x="79"/>
        <item m="1" x="54"/>
        <item m="1" x="69"/>
        <item m="1" x="14"/>
        <item m="1" x="120"/>
        <item m="1" x="101"/>
        <item m="1" x="51"/>
        <item m="1" x="112"/>
        <item m="1" x="71"/>
        <item m="1" x="91"/>
        <item m="1" x="106"/>
        <item m="1" x="43"/>
        <item m="1" x="66"/>
        <item m="1" x="1"/>
      </items>
    </pivotField>
    <pivotField axis="axisRow" compact="0" outline="0" showAll="0" defaultSubtotal="0">
      <items count="7">
        <item m="1" x="5"/>
        <item m="1" x="3"/>
        <item m="1" x="2"/>
        <item m="1" x="6"/>
        <item x="0"/>
        <item m="1" x="4"/>
        <item m="1" x="1"/>
      </items>
    </pivotField>
    <pivotField axis="axisRow" compact="0" outline="0" showAll="0" defaultSubtotal="0">
      <items count="5">
        <item x="0"/>
        <item m="1" x="2"/>
        <item m="1" x="3"/>
        <item m="1" x="4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12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1" backgroundRefresh="0" connectionId="2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8" name="ProjectInfoTable" displayName="ProjectInfoTable" ref="A1:G2" tableType="queryTable" totalsRowShown="0">
  <autoFilter ref="A1:G2"/>
  <tableColumns count="7">
    <tableColumn id="7" uniqueName="7" name="ProjectName" queryTableFieldId="1"/>
    <tableColumn id="8" uniqueName="8" name="ModelFile" queryTableFieldId="2"/>
    <tableColumn id="9" uniqueName="9" name="ModelRunDate" queryTableFieldId="3"/>
    <tableColumn id="10" uniqueName="10" name="TimeUnits" queryTableFieldId="4"/>
    <tableColumn id="11" uniqueName="11" name="NumberOfReplications" queryTableFieldId="5"/>
    <tableColumn id="1" uniqueName="1" name="AvgStatCollectionLength" queryTableFieldId="12"/>
    <tableColumn id="14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DiscreteStatsTable" displayName="DiscreteStatsTable" ref="A1:Y7" tableType="queryTable" totalsRowShown="0">
  <autoFilter ref="A1:Y7"/>
  <sortState ref="A2:Y7">
    <sortCondition ref="D1:D61"/>
  </sortState>
  <tableColumns count="25">
    <tableColumn id="12" uniqueName="12" name="ProjectName" queryTableFieldId="1"/>
    <tableColumn id="13" uniqueName="13" name="Project RunDateTime" queryTableFieldId="2"/>
    <tableColumn id="14" uniqueName="14" name="Replication" queryTableFieldId="3"/>
    <tableColumn id="15" uniqueName="15" name="Name" queryTableFieldId="4"/>
    <tableColumn id="16" uniqueName="16" name="Type" queryTableFieldId="5"/>
    <tableColumn id="17" uniqueName="17" name="Source" queryTableFieldId="6"/>
    <tableColumn id="18" uniqueName="18" name="Average" queryTableFieldId="7"/>
    <tableColumn id="19" uniqueName="19" name="BatchMeansHalfWidth" queryTableFieldId="8"/>
    <tableColumn id="20" uniqueName="20" name="Minimum" queryTableFieldId="9"/>
    <tableColumn id="21" uniqueName="21" name="Maximum" queryTableFieldId="10"/>
    <tableColumn id="22" uniqueName="22" name="NumberObservations" queryTableFieldId="11"/>
    <tableColumn id="23" uniqueName="23" name="GroupByKey" queryTableFieldId="12" dataDxfId="74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uniqueName="24" name="RepsRequested" queryTableFieldId="13" dataDxfId="73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uniqueName="25" name="AverageOfAverage" queryTableFieldId="14" dataDxfId="72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ContinuousStatsTable" displayName="ContinuousStatsTable" ref="A1:U2" tableType="queryTable" totalsRowShown="0">
  <autoFilter ref="A1:U2"/>
  <tableColumns count="21">
    <tableColumn id="13" uniqueName="13" name="ProjectName" queryTableFieldId="1"/>
    <tableColumn id="14" uniqueName="14" name="Project RunDateTime" queryTableFieldId="2"/>
    <tableColumn id="15" uniqueName="15" name="Replication" queryTableFieldId="3"/>
    <tableColumn id="16" uniqueName="16" name="Name" queryTableFieldId="4"/>
    <tableColumn id="17" uniqueName="17" name="Type" queryTableFieldId="5"/>
    <tableColumn id="18" uniqueName="18" name="Source" queryTableFieldId="6"/>
    <tableColumn id="19" uniqueName="19" name="Average" queryTableFieldId="7"/>
    <tableColumn id="20" uniqueName="20" name="BatchMeansHalfWidth" queryTableFieldId="8"/>
    <tableColumn id="21" uniqueName="21" name="Minimum" queryTableFieldId="9"/>
    <tableColumn id="23" uniqueName="23" name="Maximum" queryTableFieldId="11"/>
    <tableColumn id="24" uniqueName="24" name="LastRecordedValue" queryTableFieldId="12"/>
    <tableColumn id="2" uniqueName="2" name="IsPeriodic" queryTableFieldId="22"/>
    <tableColumn id="25" uniqueName="25" name="GroupByKey" queryTableFieldId="13" dataDxfId="71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uniqueName="26" name="RepsRequested" queryTableFieldId="14" dataDxfId="70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uniqueName="27" name="AverageOfAverage" queryTableFieldId="15" dataDxfId="69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CountersTable" displayName="CountersTable" ref="A1:O2" tableType="queryTable" insertRow="1" totalsRowShown="0">
  <autoFilter ref="A1:O2"/>
  <tableColumns count="15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5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OutputTable" displayName="OutputTable" ref="A1:P4" tableType="queryTable" totalsRowShown="0">
  <autoFilter ref="A1:P4"/>
  <tableColumns count="16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" uniqueName="1" name="IsPeriodic" queryTableFieldId="16"/>
    <tableColumn id="15" uniqueName="15" name="GroupByKey" queryTableFieldId="8" dataDxfId="68">
      <calculatedColumnFormula>OutputTable[[#This Row],[ProjectName]]&amp;OutputTable[[#This Row],[Name]]&amp;OutputTable[[#This Row],[Type]]&amp;OutputTable[[#This Row],[Source]]</calculatedColumnFormula>
    </tableColumn>
    <tableColumn id="16" uniqueName="16" name="RepsRequested" queryTableFieldId="9" dataDxfId="67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uniqueName="17" name="Average" queryTableFieldId="10" dataDxfId="66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uniqueName="18" name="StandardDeviation" queryTableFieldId="11" dataDxfId="41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uniqueName="19" name="ConfidenceInterval" queryTableFieldId="12" dataDxfId="40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uniqueName="20" name="HalfWidth" queryTableFieldId="13" dataDxfId="39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uniqueName="21" name="Minimum" queryTableFieldId="14" dataDxfId="38">
      <calculatedColumnFormula array="1">MIN(IF((OutputTable[GroupByKey]=OutputTable[[#This Row],[GroupByKey]]),(OutputTable[GroupByKey]=OutputTable[[#This Row],[GroupByKey]])*OutputTable[RecordedValue]))</calculatedColumnFormula>
    </tableColumn>
    <tableColumn id="22" uniqueName="22" name="Maximum" queryTableFieldId="15" dataDxfId="37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FrequencyTable" displayName="FrequencyTable" ref="A1:Q2" tableType="queryTable" insertRow="1" totalsRowShown="0">
  <autoFilter ref="A1:Q2"/>
  <tableColumns count="17">
    <tableColumn id="11" uniqueName="11" name="ProjectName" queryTableFieldId="1"/>
    <tableColumn id="12" uniqueName="12" name="Project RunDateTime" queryTableFieldId="2"/>
    <tableColumn id="13" uniqueName="13" name="Replication" queryTableFieldId="3"/>
    <tableColumn id="14" uniqueName="14" name="Name" queryTableFieldId="4"/>
    <tableColumn id="15" uniqueName="15" name="Category" queryTableFieldId="5"/>
    <tableColumn id="16" uniqueName="16" name="Source" queryTableFieldId="6"/>
    <tableColumn id="17" uniqueName="17" name="StandardPercentage" queryTableFieldId="7"/>
    <tableColumn id="18" uniqueName="18" name="RestrictedPercentage" queryTableFieldId="8" dataDxfId="0"/>
    <tableColumn id="19" uniqueName="19" name="AverageTimeInCategory" queryTableFieldId="9"/>
    <tableColumn id="20" uniqueName="20" name="FrequencyCategoryCount" queryTableFieldId="10"/>
    <tableColumn id="1" uniqueName="1" name="IncludeOption" queryTableFieldId="18"/>
    <tableColumn id="21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uniqueName="23" name="SummaryStandardPercentage" queryTableFieldId="13">
      <calculatedColumnFormula>FrequencyTable[[#This Row],[StandardPercentage]]/100</calculatedColumnFormula>
    </tableColumn>
    <tableColumn id="24" uniqueName="24" name="SummaryRestrictedPercentage" queryTableFieldId="14" dataDxfId="65">
      <calculatedColumnFormula>IF(FrequencyTable[[#This Row],[IncludeOption]]=1,(FrequencyTable[[#This Row],[RestrictedPercentage]]/100),400000000000000000000)</calculatedColumnFormula>
    </tableColumn>
    <tableColumn id="25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uniqueName="27" name="AverageRestrictedPercentage" queryTableFieldId="17" dataDxfId="64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65.425781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3</v>
      </c>
      <c r="E2">
        <v>1</v>
      </c>
      <c r="F2">
        <v>1000</v>
      </c>
      <c r="G2">
        <f>0.95</f>
        <v>0.95</v>
      </c>
    </row>
  </sheetData>
  <phoneticPr fontId="2" type="noConversion"/>
  <conditionalFormatting sqref="D2">
    <cfRule type="expression" dxfId="36" priority="1">
      <formula>D2=3</formula>
    </cfRule>
    <cfRule type="expression" dxfId="35" priority="2">
      <formula>D2=2</formula>
    </cfRule>
    <cfRule type="expression" dxfId="34" priority="3">
      <formula>D2=1</formula>
    </cfRule>
    <cfRule type="expression" dxfId="33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Z8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0.8554687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2" t="s">
        <v>10</v>
      </c>
      <c r="O1" s="1" t="s">
        <v>12</v>
      </c>
      <c r="AA1" s="1" t="s">
        <v>18</v>
      </c>
      <c r="AK1" s="2" t="s">
        <v>13</v>
      </c>
      <c r="AU1" s="1" t="s">
        <v>11</v>
      </c>
    </row>
    <row r="2" spans="1:52" x14ac:dyDescent="0.25">
      <c r="A2" s="4" t="s">
        <v>41</v>
      </c>
      <c r="B2" s="4" t="s">
        <v>21</v>
      </c>
      <c r="C2" s="4" t="s">
        <v>23</v>
      </c>
      <c r="D2" s="4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4" t="s">
        <v>41</v>
      </c>
      <c r="P2" s="4" t="s">
        <v>21</v>
      </c>
      <c r="Q2" s="4" t="s">
        <v>23</v>
      </c>
      <c r="R2" s="4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4" t="s">
        <v>41</v>
      </c>
      <c r="AB2" s="4" t="s">
        <v>21</v>
      </c>
      <c r="AC2" s="4" t="s">
        <v>23</v>
      </c>
      <c r="AD2" s="4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4" t="s">
        <v>41</v>
      </c>
      <c r="AL2" s="4" t="s">
        <v>21</v>
      </c>
      <c r="AM2" s="4" t="s">
        <v>23</v>
      </c>
      <c r="AN2" s="4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4" t="s">
        <v>41</v>
      </c>
      <c r="AV2" s="4" t="s">
        <v>21</v>
      </c>
      <c r="AW2" s="4" t="s">
        <v>57</v>
      </c>
      <c r="AX2" s="4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3">
        <v>0</v>
      </c>
      <c r="F3" s="3">
        <v>1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3976</v>
      </c>
      <c r="O3" t="s">
        <v>67</v>
      </c>
      <c r="P3" t="s">
        <v>71</v>
      </c>
      <c r="Q3" t="s">
        <v>79</v>
      </c>
      <c r="R3" t="s">
        <v>73</v>
      </c>
      <c r="S3" s="3">
        <v>21.5585892146165</v>
      </c>
      <c r="T3" s="3">
        <v>3E+20</v>
      </c>
      <c r="U3" s="3">
        <v>0</v>
      </c>
      <c r="V3" s="3">
        <v>21.5585892146165</v>
      </c>
      <c r="W3" s="3">
        <v>21.5585892146165</v>
      </c>
      <c r="X3" s="3">
        <v>0</v>
      </c>
      <c r="Y3" s="3">
        <v>43</v>
      </c>
      <c r="AA3" t="s">
        <v>65</v>
      </c>
      <c r="AB3" t="s">
        <v>65</v>
      </c>
      <c r="AC3" t="s">
        <v>65</v>
      </c>
      <c r="AD3" t="s">
        <v>65</v>
      </c>
      <c r="AE3" s="3"/>
      <c r="AF3" s="3"/>
      <c r="AG3" s="3"/>
      <c r="AH3" s="3"/>
      <c r="AI3" s="3"/>
      <c r="AK3" t="s">
        <v>67</v>
      </c>
      <c r="AL3" t="s">
        <v>84</v>
      </c>
      <c r="AM3" t="s">
        <v>83</v>
      </c>
      <c r="AN3" t="s">
        <v>85</v>
      </c>
      <c r="AO3" s="3">
        <v>3976</v>
      </c>
      <c r="AP3" s="3">
        <v>4E+20</v>
      </c>
      <c r="AQ3" s="3">
        <v>0</v>
      </c>
      <c r="AR3" s="3">
        <v>3976</v>
      </c>
      <c r="AS3" s="3">
        <v>3976</v>
      </c>
      <c r="AU3" t="s">
        <v>65</v>
      </c>
      <c r="AV3" t="s">
        <v>65</v>
      </c>
      <c r="AW3" t="s">
        <v>65</v>
      </c>
      <c r="AX3" t="s">
        <v>65</v>
      </c>
      <c r="AY3" s="6"/>
      <c r="AZ3" s="6"/>
    </row>
    <row r="4" spans="1:52" x14ac:dyDescent="0.25">
      <c r="C4" t="s">
        <v>74</v>
      </c>
      <c r="D4" t="s">
        <v>73</v>
      </c>
      <c r="E4" s="3">
        <v>0</v>
      </c>
      <c r="F4" s="3">
        <v>1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3976</v>
      </c>
      <c r="AL4" t="s">
        <v>80</v>
      </c>
      <c r="AM4" t="s">
        <v>81</v>
      </c>
      <c r="AN4" t="s">
        <v>73</v>
      </c>
      <c r="AO4" s="3">
        <v>4001</v>
      </c>
      <c r="AP4" s="3">
        <v>4E+20</v>
      </c>
      <c r="AQ4" s="3">
        <v>0</v>
      </c>
      <c r="AR4" s="3">
        <v>4001</v>
      </c>
      <c r="AS4" s="3">
        <v>4001</v>
      </c>
    </row>
    <row r="5" spans="1:52" x14ac:dyDescent="0.25">
      <c r="C5" t="s">
        <v>75</v>
      </c>
      <c r="D5" t="s">
        <v>73</v>
      </c>
      <c r="E5" s="3">
        <v>5.3642075489478396</v>
      </c>
      <c r="F5" s="3">
        <v>1</v>
      </c>
      <c r="G5" s="3">
        <v>0.45825355604866702</v>
      </c>
      <c r="H5" s="3">
        <v>0</v>
      </c>
      <c r="I5" s="3">
        <v>5.3642075489478396</v>
      </c>
      <c r="J5" s="3">
        <v>5.3642075489478396</v>
      </c>
      <c r="K5" s="3">
        <v>2.54810787589577E-3</v>
      </c>
      <c r="L5" s="3">
        <v>89.837516317812302</v>
      </c>
      <c r="M5" s="3">
        <v>3976</v>
      </c>
      <c r="AL5" t="s">
        <v>82</v>
      </c>
      <c r="AM5" t="s">
        <v>83</v>
      </c>
      <c r="AN5" t="s">
        <v>73</v>
      </c>
      <c r="AO5" s="3">
        <v>3976</v>
      </c>
      <c r="AP5" s="3">
        <v>4E+20</v>
      </c>
      <c r="AQ5" s="3">
        <v>0</v>
      </c>
      <c r="AR5" s="3">
        <v>3976</v>
      </c>
      <c r="AS5" s="3">
        <v>3976</v>
      </c>
    </row>
    <row r="6" spans="1:52" x14ac:dyDescent="0.25">
      <c r="C6" t="s">
        <v>76</v>
      </c>
      <c r="D6" t="s">
        <v>73</v>
      </c>
      <c r="E6" s="3">
        <v>0</v>
      </c>
      <c r="F6" s="3">
        <v>1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3976</v>
      </c>
    </row>
    <row r="7" spans="1:52" x14ac:dyDescent="0.25">
      <c r="C7" t="s">
        <v>77</v>
      </c>
      <c r="D7" t="s">
        <v>73</v>
      </c>
      <c r="E7" s="3">
        <v>5.3642075489478396</v>
      </c>
      <c r="F7" s="3">
        <v>1</v>
      </c>
      <c r="G7" s="3">
        <v>0.45825355604866702</v>
      </c>
      <c r="H7" s="3">
        <v>0</v>
      </c>
      <c r="I7" s="3">
        <v>5.3642075489478396</v>
      </c>
      <c r="J7" s="3">
        <v>5.3642075489478396</v>
      </c>
      <c r="K7" s="3">
        <v>2.54810787589577E-3</v>
      </c>
      <c r="L7" s="3">
        <v>89.837516317812302</v>
      </c>
      <c r="M7" s="3">
        <v>3976</v>
      </c>
    </row>
    <row r="8" spans="1:52" x14ac:dyDescent="0.25">
      <c r="C8" t="s">
        <v>78</v>
      </c>
      <c r="D8" t="s">
        <v>73</v>
      </c>
      <c r="E8" s="3">
        <v>0</v>
      </c>
      <c r="F8" s="3">
        <v>1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3976</v>
      </c>
    </row>
  </sheetData>
  <dataConsolidate/>
  <conditionalFormatting pivot="1" sqref="G3:G8">
    <cfRule type="expression" dxfId="32" priority="14">
      <formula>G3=200000000000000000000</formula>
    </cfRule>
  </conditionalFormatting>
  <conditionalFormatting pivot="1" sqref="T3">
    <cfRule type="expression" dxfId="31" priority="13">
      <formula>T3=200000000000000000000</formula>
    </cfRule>
  </conditionalFormatting>
  <conditionalFormatting pivot="1" sqref="T3">
    <cfRule type="expression" dxfId="30" priority="12">
      <formula>T3=300000000000000000000</formula>
    </cfRule>
  </conditionalFormatting>
  <conditionalFormatting pivot="1" sqref="G3:G8">
    <cfRule type="expression" dxfId="29" priority="11">
      <formula>G3=300000000000000000000</formula>
    </cfRule>
  </conditionalFormatting>
  <conditionalFormatting pivot="1" sqref="F3:F8">
    <cfRule type="expression" dxfId="28" priority="10">
      <formula>F3=0</formula>
    </cfRule>
  </conditionalFormatting>
  <conditionalFormatting pivot="1" sqref="F3:F8">
    <cfRule type="expression" dxfId="27" priority="9">
      <formula>F3=1</formula>
    </cfRule>
  </conditionalFormatting>
  <conditionalFormatting pivot="1" sqref="T3">
    <cfRule type="expression" dxfId="26" priority="8">
      <formula>T3=400000000000000000000</formula>
    </cfRule>
  </conditionalFormatting>
  <conditionalFormatting pivot="1" sqref="AP3:AP5">
    <cfRule type="expression" dxfId="25" priority="7">
      <formula>AP3=400000000000000000000</formula>
    </cfRule>
  </conditionalFormatting>
  <conditionalFormatting pivot="1" sqref="AF3">
    <cfRule type="expression" dxfId="24" priority="6">
      <formula>AF3=400000000000000000000</formula>
    </cfRule>
  </conditionalFormatting>
  <conditionalFormatting pivot="1" sqref="G3:G8">
    <cfRule type="expression" dxfId="23" priority="5">
      <formula>G3=400000000000000000000</formula>
    </cfRule>
  </conditionalFormatting>
  <conditionalFormatting pivot="1" sqref="AZ3">
    <cfRule type="expression" dxfId="22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7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41.140625" bestFit="1" customWidth="1"/>
    <col min="13" max="13" width="17.28515625" bestFit="1" customWidth="1"/>
    <col min="14" max="14" width="20.28515625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customWidth="1"/>
    <col min="20" max="20" width="18.5703125" customWidth="1"/>
    <col min="21" max="21" width="18.85546875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0</v>
      </c>
      <c r="I2">
        <v>0</v>
      </c>
      <c r="J2">
        <v>0</v>
      </c>
      <c r="K2">
        <v>3976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s="3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s="3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 s="3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s="3">
        <f t="array" ref="R2">MIN(IF((DiscreteStatsTable[GroupByKey]=DiscreteStatsTable[[#This Row],[GroupByKey]]),(DiscreteStatsTable[GroupByKey]=DiscreteStatsTable[[#This Row],[GroupByKey]])*DiscreteStatsTable[Average]))</f>
        <v>0</v>
      </c>
      <c r="S2" s="3">
        <f t="array" ref="S2">MAX(IF((DiscreteStatsTable[GroupByKey]=DiscreteStatsTable[[#This Row],[GroupByKey]]),(DiscreteStatsTable[GroupByKey]=DiscreteStatsTable[[#This Row],[GroupByKey]])*DiscreteStatsTable[Average]))</f>
        <v>0</v>
      </c>
      <c r="T2" s="3">
        <f t="array" ref="T2">MIN(IF((DiscreteStatsTable[GroupByKey]=DiscreteStatsTable[[#This Row],[GroupByKey]]),(DiscreteStatsTable[GroupByKey]=DiscreteStatsTable[[#This Row],[GroupByKey]])*DiscreteStatsTable[Minimum]))</f>
        <v>0</v>
      </c>
      <c r="U2" s="3">
        <f t="array" ref="U2">MAX(IF((DiscreteStatsTable[GroupByKey]=DiscreteStatsTable[[#This Row],[GroupByKey]]),(DiscreteStatsTable[GroupByKey]=DiscreteStatsTable[[#This Row],[GroupByKey]])*DiscreteStatsTable[Maximum]))</f>
        <v>0</v>
      </c>
      <c r="V2" s="3">
        <f t="array" ref="V2">IFERROR(AVERAGE(IF((DiscreteStatsTable[GroupByKey]=DiscreteStatsTable[[#This Row],[GroupByKey]]),(DiscreteStatsTable[GroupByKey]=DiscreteStatsTable[[#This Row],[GroupByKey]])*DiscreteStatsTable[NumberObservations])),0)</f>
        <v>3976</v>
      </c>
      <c r="W2" s="3">
        <f>IF((DiscreteStatsTable[[#This Row],[RepsRequested]]&gt;1),DiscreteStatsTable[[#This Row],[HalfWidth]],DiscreteStatsTable[[#This Row],[BatchMeansHalfWidth]])</f>
        <v>0</v>
      </c>
      <c r="X2" s="3">
        <f t="array" ref="X2">COUNT(IF((DiscreteStatsTable[GroupByKey]=DiscreteStatsTable[[#This Row],[GroupByKey]]),(DiscreteStatsTable[GroupByKey]=DiscreteStatsTable[[#This Row],[GroupByKey]])*DiscreteStatsTable[Replication]))</f>
        <v>1</v>
      </c>
      <c r="Y2" s="3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0</v>
      </c>
      <c r="H3">
        <v>0</v>
      </c>
      <c r="I3">
        <v>0</v>
      </c>
      <c r="J3">
        <v>0</v>
      </c>
      <c r="K3">
        <v>3976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s="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s="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 s="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s="3">
        <f t="array" ref="R3">MIN(IF((DiscreteStatsTable[GroupByKey]=DiscreteStatsTable[[#This Row],[GroupByKey]]),(DiscreteStatsTable[GroupByKey]=DiscreteStatsTable[[#This Row],[GroupByKey]])*DiscreteStatsTable[Average]))</f>
        <v>0</v>
      </c>
      <c r="S3" s="3">
        <f t="array" ref="S3">MAX(IF((DiscreteStatsTable[GroupByKey]=DiscreteStatsTable[[#This Row],[GroupByKey]]),(DiscreteStatsTable[GroupByKey]=DiscreteStatsTable[[#This Row],[GroupByKey]])*DiscreteStatsTable[Average]))</f>
        <v>0</v>
      </c>
      <c r="T3" s="3">
        <f t="array" ref="T3">MIN(IF((DiscreteStatsTable[GroupByKey]=DiscreteStatsTable[[#This Row],[GroupByKey]]),(DiscreteStatsTable[GroupByKey]=DiscreteStatsTable[[#This Row],[GroupByKey]])*DiscreteStatsTable[Minimum]))</f>
        <v>0</v>
      </c>
      <c r="U3" s="3">
        <f t="array" ref="U3">MAX(IF((DiscreteStatsTable[GroupByKey]=DiscreteStatsTable[[#This Row],[GroupByKey]]),(DiscreteStatsTable[GroupByKey]=DiscreteStatsTable[[#This Row],[GroupByKey]])*DiscreteStatsTable[Maximum]))</f>
        <v>0</v>
      </c>
      <c r="V3" s="3">
        <f t="array" ref="V3">IFERROR(AVERAGE(IF((DiscreteStatsTable[GroupByKey]=DiscreteStatsTable[[#This Row],[GroupByKey]]),(DiscreteStatsTable[GroupByKey]=DiscreteStatsTable[[#This Row],[GroupByKey]])*DiscreteStatsTable[NumberObservations])),0)</f>
        <v>3976</v>
      </c>
      <c r="W3" s="3">
        <f>IF((DiscreteStatsTable[[#This Row],[RepsRequested]]&gt;1),DiscreteStatsTable[[#This Row],[HalfWidth]],DiscreteStatsTable[[#This Row],[BatchMeansHalfWidth]])</f>
        <v>0</v>
      </c>
      <c r="X3" s="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 s="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5.3642075489478396</v>
      </c>
      <c r="H4">
        <v>0.45825355604866702</v>
      </c>
      <c r="I4">
        <v>2.54810787589577E-3</v>
      </c>
      <c r="J4">
        <v>89.837516317812302</v>
      </c>
      <c r="K4">
        <v>3976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5.3642075489478396</v>
      </c>
      <c r="O4" s="3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s="3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 s="3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s="3">
        <f t="array" ref="R4">MIN(IF((DiscreteStatsTable[GroupByKey]=DiscreteStatsTable[[#This Row],[GroupByKey]]),(DiscreteStatsTable[GroupByKey]=DiscreteStatsTable[[#This Row],[GroupByKey]])*DiscreteStatsTable[Average]))</f>
        <v>5.3642075489478396</v>
      </c>
      <c r="S4" s="3">
        <f t="array" ref="S4">MAX(IF((DiscreteStatsTable[GroupByKey]=DiscreteStatsTable[[#This Row],[GroupByKey]]),(DiscreteStatsTable[GroupByKey]=DiscreteStatsTable[[#This Row],[GroupByKey]])*DiscreteStatsTable[Average]))</f>
        <v>5.3642075489478396</v>
      </c>
      <c r="T4" s="3">
        <f t="array" ref="T4">MIN(IF((DiscreteStatsTable[GroupByKey]=DiscreteStatsTable[[#This Row],[GroupByKey]]),(DiscreteStatsTable[GroupByKey]=DiscreteStatsTable[[#This Row],[GroupByKey]])*DiscreteStatsTable[Minimum]))</f>
        <v>2.54810787589577E-3</v>
      </c>
      <c r="U4" s="3">
        <f t="array" ref="U4">MAX(IF((DiscreteStatsTable[GroupByKey]=DiscreteStatsTable[[#This Row],[GroupByKey]]),(DiscreteStatsTable[GroupByKey]=DiscreteStatsTable[[#This Row],[GroupByKey]])*DiscreteStatsTable[Maximum]))</f>
        <v>89.837516317812302</v>
      </c>
      <c r="V4" s="3">
        <f t="array" ref="V4">IFERROR(AVERAGE(IF((DiscreteStatsTable[GroupByKey]=DiscreteStatsTable[[#This Row],[GroupByKey]]),(DiscreteStatsTable[GroupByKey]=DiscreteStatsTable[[#This Row],[GroupByKey]])*DiscreteStatsTable[NumberObservations])),0)</f>
        <v>3976</v>
      </c>
      <c r="W4" s="3">
        <f>IF((DiscreteStatsTable[[#This Row],[RepsRequested]]&gt;1),DiscreteStatsTable[[#This Row],[HalfWidth]],DiscreteStatsTable[[#This Row],[BatchMeansHalfWidth]])</f>
        <v>0.45825355604866702</v>
      </c>
      <c r="X4" s="3">
        <f t="array" ref="X4">COUNT(IF((DiscreteStatsTable[GroupByKey]=DiscreteStatsTable[[#This Row],[GroupByKey]]),(DiscreteStatsTable[GroupByKey]=DiscreteStatsTable[[#This Row],[GroupByKey]])*DiscreteStatsTable[Replication]))</f>
        <v>1</v>
      </c>
      <c r="Y4" s="3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0</v>
      </c>
      <c r="H5">
        <v>0</v>
      </c>
      <c r="I5">
        <v>0</v>
      </c>
      <c r="J5">
        <v>0</v>
      </c>
      <c r="K5">
        <v>3976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s="3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s="3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 s="3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s="3">
        <f t="array" ref="R5">MIN(IF((DiscreteStatsTable[GroupByKey]=DiscreteStatsTable[[#This Row],[GroupByKey]]),(DiscreteStatsTable[GroupByKey]=DiscreteStatsTable[[#This Row],[GroupByKey]])*DiscreteStatsTable[Average]))</f>
        <v>0</v>
      </c>
      <c r="S5" s="3">
        <f t="array" ref="S5">MAX(IF((DiscreteStatsTable[GroupByKey]=DiscreteStatsTable[[#This Row],[GroupByKey]]),(DiscreteStatsTable[GroupByKey]=DiscreteStatsTable[[#This Row],[GroupByKey]])*DiscreteStatsTable[Average]))</f>
        <v>0</v>
      </c>
      <c r="T5" s="3">
        <f t="array" ref="T5">MIN(IF((DiscreteStatsTable[GroupByKey]=DiscreteStatsTable[[#This Row],[GroupByKey]]),(DiscreteStatsTable[GroupByKey]=DiscreteStatsTable[[#This Row],[GroupByKey]])*DiscreteStatsTable[Minimum]))</f>
        <v>0</v>
      </c>
      <c r="U5" s="3">
        <f t="array" ref="U5">MAX(IF((DiscreteStatsTable[GroupByKey]=DiscreteStatsTable[[#This Row],[GroupByKey]]),(DiscreteStatsTable[GroupByKey]=DiscreteStatsTable[[#This Row],[GroupByKey]])*DiscreteStatsTable[Maximum]))</f>
        <v>0</v>
      </c>
      <c r="V5" s="3">
        <f t="array" ref="V5">IFERROR(AVERAGE(IF((DiscreteStatsTable[GroupByKey]=DiscreteStatsTable[[#This Row],[GroupByKey]]),(DiscreteStatsTable[GroupByKey]=DiscreteStatsTable[[#This Row],[GroupByKey]])*DiscreteStatsTable[NumberObservations])),0)</f>
        <v>3976</v>
      </c>
      <c r="W5" s="3">
        <f>IF((DiscreteStatsTable[[#This Row],[RepsRequested]]&gt;1),DiscreteStatsTable[[#This Row],[HalfWidth]],DiscreteStatsTable[[#This Row],[BatchMeansHalfWidth]])</f>
        <v>0</v>
      </c>
      <c r="X5" s="3">
        <f t="array" ref="X5">COUNT(IF((DiscreteStatsTable[GroupByKey]=DiscreteStatsTable[[#This Row],[GroupByKey]]),(DiscreteStatsTable[GroupByKey]=DiscreteStatsTable[[#This Row],[GroupByKey]])*DiscreteStatsTable[Replication]))</f>
        <v>1</v>
      </c>
      <c r="Y5" s="3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5.3642075489478396</v>
      </c>
      <c r="H6">
        <v>0.45825355604866702</v>
      </c>
      <c r="I6">
        <v>2.54810787589577E-3</v>
      </c>
      <c r="J6">
        <v>89.837516317812302</v>
      </c>
      <c r="K6">
        <v>3976</v>
      </c>
      <c r="L6" s="3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s="3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s="3">
        <f t="array" ref="N6">IFERROR(AVERAGE(IF((DiscreteStatsTable[GroupByKey]=DiscreteStatsTable[[#This Row],[GroupByKey]]),(DiscreteStatsTable[GroupByKey]=DiscreteStatsTable[[#This Row],[GroupByKey]])*DiscreteStatsTable[Average])),0)</f>
        <v>5.3642075489478396</v>
      </c>
      <c r="O6" s="3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s="3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 s="3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s="3">
        <f t="array" ref="R6">MIN(IF((DiscreteStatsTable[GroupByKey]=DiscreteStatsTable[[#This Row],[GroupByKey]]),(DiscreteStatsTable[GroupByKey]=DiscreteStatsTable[[#This Row],[GroupByKey]])*DiscreteStatsTable[Average]))</f>
        <v>5.3642075489478396</v>
      </c>
      <c r="S6" s="3">
        <f t="array" ref="S6">MAX(IF((DiscreteStatsTable[GroupByKey]=DiscreteStatsTable[[#This Row],[GroupByKey]]),(DiscreteStatsTable[GroupByKey]=DiscreteStatsTable[[#This Row],[GroupByKey]])*DiscreteStatsTable[Average]))</f>
        <v>5.3642075489478396</v>
      </c>
      <c r="T6" s="3">
        <f t="array" ref="T6">MIN(IF((DiscreteStatsTable[GroupByKey]=DiscreteStatsTable[[#This Row],[GroupByKey]]),(DiscreteStatsTable[GroupByKey]=DiscreteStatsTable[[#This Row],[GroupByKey]])*DiscreteStatsTable[Minimum]))</f>
        <v>2.54810787589577E-3</v>
      </c>
      <c r="U6" s="3">
        <f t="array" ref="U6">MAX(IF((DiscreteStatsTable[GroupByKey]=DiscreteStatsTable[[#This Row],[GroupByKey]]),(DiscreteStatsTable[GroupByKey]=DiscreteStatsTable[[#This Row],[GroupByKey]])*DiscreteStatsTable[Maximum]))</f>
        <v>89.837516317812302</v>
      </c>
      <c r="V6" s="3">
        <f t="array" ref="V6">IFERROR(AVERAGE(IF((DiscreteStatsTable[GroupByKey]=DiscreteStatsTable[[#This Row],[GroupByKey]]),(DiscreteStatsTable[GroupByKey]=DiscreteStatsTable[[#This Row],[GroupByKey]])*DiscreteStatsTable[NumberObservations])),0)</f>
        <v>3976</v>
      </c>
      <c r="W6" s="3">
        <f>IF((DiscreteStatsTable[[#This Row],[RepsRequested]]&gt;1),DiscreteStatsTable[[#This Row],[HalfWidth]],DiscreteStatsTable[[#This Row],[BatchMeansHalfWidth]])</f>
        <v>0.45825355604866702</v>
      </c>
      <c r="X6" s="3">
        <f t="array" ref="X6">COUNT(IF((DiscreteStatsTable[GroupByKey]=DiscreteStatsTable[[#This Row],[GroupByKey]]),(DiscreteStatsTable[GroupByKey]=DiscreteStatsTable[[#This Row],[GroupByKey]])*DiscreteStatsTable[Replication]))</f>
        <v>1</v>
      </c>
      <c r="Y6" s="3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0</v>
      </c>
      <c r="H7">
        <v>0</v>
      </c>
      <c r="I7">
        <v>0</v>
      </c>
      <c r="J7">
        <v>0</v>
      </c>
      <c r="K7">
        <v>3976</v>
      </c>
      <c r="L7" s="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s="3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s="3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s="3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s="3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 s="3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s="3">
        <f t="array" ref="R7">MIN(IF((DiscreteStatsTable[GroupByKey]=DiscreteStatsTable[[#This Row],[GroupByKey]]),(DiscreteStatsTable[GroupByKey]=DiscreteStatsTable[[#This Row],[GroupByKey]])*DiscreteStatsTable[Average]))</f>
        <v>0</v>
      </c>
      <c r="S7" s="3">
        <f t="array" ref="S7">MAX(IF((DiscreteStatsTable[GroupByKey]=DiscreteStatsTable[[#This Row],[GroupByKey]]),(DiscreteStatsTable[GroupByKey]=DiscreteStatsTable[[#This Row],[GroupByKey]])*DiscreteStatsTable[Average]))</f>
        <v>0</v>
      </c>
      <c r="T7" s="3">
        <f t="array" ref="T7">MIN(IF((DiscreteStatsTable[GroupByKey]=DiscreteStatsTable[[#This Row],[GroupByKey]]),(DiscreteStatsTable[GroupByKey]=DiscreteStatsTable[[#This Row],[GroupByKey]])*DiscreteStatsTable[Minimum]))</f>
        <v>0</v>
      </c>
      <c r="U7" s="3">
        <f t="array" ref="U7">MAX(IF((DiscreteStatsTable[GroupByKey]=DiscreteStatsTable[[#This Row],[GroupByKey]]),(DiscreteStatsTable[GroupByKey]=DiscreteStatsTable[[#This Row],[GroupByKey]])*DiscreteStatsTable[Maximum]))</f>
        <v>0</v>
      </c>
      <c r="V7" s="3">
        <f t="array" ref="V7">IFERROR(AVERAGE(IF((DiscreteStatsTable[GroupByKey]=DiscreteStatsTable[[#This Row],[GroupByKey]]),(DiscreteStatsTable[GroupByKey]=DiscreteStatsTable[[#This Row],[GroupByKey]])*DiscreteStatsTable[NumberObservations])),0)</f>
        <v>3976</v>
      </c>
      <c r="W7" s="3">
        <f>IF((DiscreteStatsTable[[#This Row],[RepsRequested]]&gt;1),DiscreteStatsTable[[#This Row],[HalfWidth]],DiscreteStatsTable[[#This Row],[BatchMeansHalfWidth]])</f>
        <v>0</v>
      </c>
      <c r="X7" s="3">
        <f t="array" ref="X7">COUNT(IF((DiscreteStatsTable[GroupByKey]=DiscreteStatsTable[[#This Row],[GroupByKey]]),(DiscreteStatsTable[GroupByKey]=DiscreteStatsTable[[#This Row],[GroupByKey]])*DiscreteStatsTable[Replication]))</f>
        <v>1</v>
      </c>
      <c r="Y7" s="3">
        <f>IF(DiscreteStatsTable[[#This Row],[RepsRequested]]=DiscreteStatsTable[[#This Row],[RepsWithStatObserved]],1,0)</f>
        <v>1</v>
      </c>
    </row>
  </sheetData>
  <phoneticPr fontId="2" type="noConversion"/>
  <conditionalFormatting sqref="H2:H7 Q2:Q7">
    <cfRule type="expression" dxfId="21" priority="23">
      <formula>H2=200000000000000000000</formula>
    </cfRule>
  </conditionalFormatting>
  <conditionalFormatting sqref="H2:H7">
    <cfRule type="expression" dxfId="20" priority="21">
      <formula>H2=300000000000000000000</formula>
    </cfRule>
  </conditionalFormatting>
  <conditionalFormatting sqref="L2:Y7">
    <cfRule type="expression" dxfId="19" priority="19">
      <formula>MOD(ROW(),2)=0</formula>
    </cfRule>
  </conditionalFormatting>
  <conditionalFormatting sqref="Y2:Y7">
    <cfRule type="expression" dxfId="18" priority="14">
      <formula>Y2=0</formula>
    </cfRule>
    <cfRule type="expression" dxfId="17" priority="16">
      <formula>Y2=1</formula>
    </cfRule>
  </conditionalFormatting>
  <conditionalFormatting sqref="Y3:Y7">
    <cfRule type="expression" dxfId="16" priority="15">
      <formula>Y3=1</formula>
    </cfRule>
  </conditionalFormatting>
  <conditionalFormatting sqref="W2:W7">
    <cfRule type="expression" dxfId="15" priority="6">
      <formula>W2=300000000000000000000</formula>
    </cfRule>
    <cfRule type="expression" dxfId="14" priority="7">
      <formula>W2=200000000000000000000</formula>
    </cfRule>
  </conditionalFormatting>
  <conditionalFormatting sqref="Q2:Q7 W2:W7">
    <cfRule type="expression" dxfId="1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2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32.28515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71</v>
      </c>
      <c r="E2" t="s">
        <v>79</v>
      </c>
      <c r="F2" t="s">
        <v>73</v>
      </c>
      <c r="G2">
        <v>21.5585892146165</v>
      </c>
      <c r="H2">
        <v>3E+20</v>
      </c>
      <c r="I2">
        <v>0</v>
      </c>
      <c r="J2">
        <v>43</v>
      </c>
      <c r="K2">
        <v>25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21.5585892146165</v>
      </c>
      <c r="P2" s="3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s="3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s="3">
        <f t="array" ref="S2">MIN(IF((ContinuousStatsTable[GroupByKey]=ContinuousStatsTable[[#This Row],[GroupByKey]]),(ContinuousStatsTable[GroupByKey]=ContinuousStatsTable[[#This Row],[GroupByKey]])*ContinuousStatsTable[Average]))</f>
        <v>21.5585892146165</v>
      </c>
      <c r="T2" s="3">
        <f t="array" ref="T2">MAX(IF((ContinuousStatsTable[GroupByKey]=ContinuousStatsTable[[#This Row],[GroupByKey]]),(ContinuousStatsTable[GroupByKey]=ContinuousStatsTable[[#This Row],[GroupByKey]])*ContinuousStatsTable[Average]))</f>
        <v>21.5585892146165</v>
      </c>
      <c r="U2" s="3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">
    <cfRule type="expression" dxfId="12" priority="9">
      <formula>H2=200000000000000000000</formula>
    </cfRule>
  </conditionalFormatting>
  <conditionalFormatting sqref="H2">
    <cfRule type="expression" dxfId="11" priority="7">
      <formula>H2=300000000000000000000</formula>
    </cfRule>
  </conditionalFormatting>
  <conditionalFormatting sqref="M2:U2">
    <cfRule type="expression" dxfId="10" priority="5">
      <formula>MOD(ROW(),2)=0</formula>
    </cfRule>
  </conditionalFormatting>
  <conditionalFormatting sqref="U2">
    <cfRule type="expression" dxfId="9" priority="3">
      <formula>U2=200000000000000000000</formula>
    </cfRule>
    <cfRule type="expression" dxfId="8" priority="4">
      <formula>U2=300000000000000000000</formula>
    </cfRule>
  </conditionalFormatting>
  <conditionalFormatting sqref="R2 U2">
    <cfRule type="expression" dxfId="7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2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K2" s="3"/>
      <c r="L2" s="3"/>
      <c r="M2" s="3"/>
      <c r="N2" s="3"/>
      <c r="O2" s="3"/>
    </row>
  </sheetData>
  <phoneticPr fontId="2" type="noConversion"/>
  <conditionalFormatting sqref="H2:O2">
    <cfRule type="expression" dxfId="6" priority="2">
      <formula>MOD(ROW(),2)=0</formula>
    </cfRule>
  </conditionalFormatting>
  <conditionalFormatting sqref="M2">
    <cfRule type="expression" dxfId="5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4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" bestFit="1" customWidth="1"/>
    <col min="5" max="5" width="12" bestFit="1" customWidth="1"/>
    <col min="6" max="6" width="9.28515625" bestFit="1" customWidth="1"/>
    <col min="7" max="7" width="17" bestFit="1" customWidth="1"/>
    <col min="8" max="8" width="12" bestFit="1" customWidth="1"/>
    <col min="9" max="9" width="52.710937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80</v>
      </c>
      <c r="E2" t="s">
        <v>81</v>
      </c>
      <c r="F2" t="s">
        <v>73</v>
      </c>
      <c r="G2">
        <v>4001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4001</v>
      </c>
      <c r="L2" s="3">
        <f t="array" ref="L2">IFERROR(_xlfn.STDEV.S(IF((OutputTable[GroupByKey]=OutputTable[[#This Row],[GroupByKey]]),(OutputTable[GroupByKey]=OutputTable[[#This Row],[GroupByKey]])*OutputTable[RecordedValue])),0)</f>
        <v>0</v>
      </c>
      <c r="M2" s="3">
        <f t="array" ref="M2">MAX(IF((ProjectInfoTable[ProjectName]=OutputTable[[#This Row],[ProjectName]]),(ProjectInfoTable[ProjectName]=OutputTable[[#This Row],[ProjectName]])*ProjectInfoTable[ConfidenceInterval]))</f>
        <v>0.95</v>
      </c>
      <c r="N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s="3">
        <f t="array" ref="O2">MIN(IF((OutputTable[GroupByKey]=OutputTable[[#This Row],[GroupByKey]]),(OutputTable[GroupByKey]=OutputTable[[#This Row],[GroupByKey]])*OutputTable[RecordedValue]))</f>
        <v>4001</v>
      </c>
      <c r="P2" s="3">
        <f t="array" ref="P2">MAX(IF((OutputTable[GroupByKey]=OutputTable[[#This Row],[GroupByKey]]),(OutputTable[GroupByKey]=OutputTable[[#This Row],[GroupByKey]])*OutputTable[RecordedValue]))</f>
        <v>4001</v>
      </c>
    </row>
    <row r="3" spans="1:16" x14ac:dyDescent="0.25">
      <c r="A3" t="s">
        <v>67</v>
      </c>
      <c r="B3" t="s">
        <v>70</v>
      </c>
      <c r="C3">
        <v>1</v>
      </c>
      <c r="D3" t="s">
        <v>82</v>
      </c>
      <c r="E3" t="s">
        <v>83</v>
      </c>
      <c r="F3" t="s">
        <v>73</v>
      </c>
      <c r="G3">
        <v>3976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3976</v>
      </c>
      <c r="L3" s="3">
        <f t="array" ref="L3">IFERROR(_xlfn.STDEV.S(IF((OutputTable[GroupByKey]=OutputTable[[#This Row],[GroupByKey]]),(OutputTable[GroupByKey]=OutputTable[[#This Row],[GroupByKey]])*OutputTable[RecordedValue])),0)</f>
        <v>0</v>
      </c>
      <c r="M3" s="3">
        <f t="array" ref="M3">MAX(IF((ProjectInfoTable[ProjectName]=OutputTable[[#This Row],[ProjectName]]),(ProjectInfoTable[ProjectName]=OutputTable[[#This Row],[ProjectName]])*ProjectInfoTable[ConfidenceInterval]))</f>
        <v>0.95</v>
      </c>
      <c r="N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s="3">
        <f t="array" ref="O3">MIN(IF((OutputTable[GroupByKey]=OutputTable[[#This Row],[GroupByKey]]),(OutputTable[GroupByKey]=OutputTable[[#This Row],[GroupByKey]])*OutputTable[RecordedValue]))</f>
        <v>3976</v>
      </c>
      <c r="P3" s="3">
        <f t="array" ref="P3">MAX(IF((OutputTable[GroupByKey]=OutputTable[[#This Row],[GroupByKey]]),(OutputTable[GroupByKey]=OutputTable[[#This Row],[GroupByKey]])*OutputTable[RecordedValue]))</f>
        <v>3976</v>
      </c>
    </row>
    <row r="4" spans="1:16" x14ac:dyDescent="0.25">
      <c r="A4" t="s">
        <v>67</v>
      </c>
      <c r="B4" t="s">
        <v>70</v>
      </c>
      <c r="C4">
        <v>1</v>
      </c>
      <c r="D4" t="s">
        <v>84</v>
      </c>
      <c r="E4" t="s">
        <v>83</v>
      </c>
      <c r="F4" t="s">
        <v>85</v>
      </c>
      <c r="G4">
        <v>3976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3976</v>
      </c>
      <c r="L4" s="3">
        <f t="array" ref="L4">IFERROR(_xlfn.STDEV.S(IF((OutputTable[GroupByKey]=OutputTable[[#This Row],[GroupByKey]]),(OutputTable[GroupByKey]=OutputTable[[#This Row],[GroupByKey]])*OutputTable[RecordedValue])),0)</f>
        <v>0</v>
      </c>
      <c r="M4" s="3">
        <f t="array" ref="M4">MAX(IF((ProjectInfoTable[ProjectName]=OutputTable[[#This Row],[ProjectName]]),(ProjectInfoTable[ProjectName]=OutputTable[[#This Row],[ProjectName]])*ProjectInfoTable[ConfidenceInterval]))</f>
        <v>0.95</v>
      </c>
      <c r="N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s="3">
        <f t="array" ref="O4">MIN(IF((OutputTable[GroupByKey]=OutputTable[[#This Row],[GroupByKey]]),(OutputTable[GroupByKey]=OutputTable[[#This Row],[GroupByKey]])*OutputTable[RecordedValue]))</f>
        <v>3976</v>
      </c>
      <c r="P4" s="3">
        <f t="array" ref="P4">MAX(IF((OutputTable[GroupByKey]=OutputTable[[#This Row],[GroupByKey]]),(OutputTable[GroupByKey]=OutputTable[[#This Row],[GroupByKey]])*OutputTable[RecordedValue]))</f>
        <v>3976</v>
      </c>
    </row>
  </sheetData>
  <phoneticPr fontId="2" type="noConversion"/>
  <conditionalFormatting sqref="I2:P4">
    <cfRule type="expression" dxfId="4" priority="2">
      <formula>MOD(ROW(),2)=0</formula>
    </cfRule>
  </conditionalFormatting>
  <conditionalFormatting sqref="N2:N4">
    <cfRule type="expression" dxfId="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5"/>
  <sheetViews>
    <sheetView workbookViewId="0">
      <selection activeCell="A2" sqref="A2"/>
    </sheetView>
  </sheetViews>
  <sheetFormatPr defaultRowHeight="15" x14ac:dyDescent="0.25"/>
  <cols>
    <col min="1" max="1" width="14.85546875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23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s="3" t="s">
        <v>48</v>
      </c>
      <c r="O1" s="3" t="s">
        <v>60</v>
      </c>
      <c r="P1" s="3" t="s">
        <v>29</v>
      </c>
      <c r="Q1" s="3" t="s">
        <v>34</v>
      </c>
      <c r="R1" s="3"/>
      <c r="S1" s="3"/>
      <c r="T1" s="3"/>
      <c r="U1" s="3"/>
      <c r="V1" s="3"/>
      <c r="W1" s="3"/>
    </row>
    <row r="2" spans="1:23" x14ac:dyDescent="0.25">
      <c r="H2" s="3"/>
      <c r="R2" s="3"/>
      <c r="S2" s="3"/>
      <c r="T2" s="3"/>
      <c r="U2" s="3"/>
      <c r="V2" s="3"/>
      <c r="W2" s="3"/>
    </row>
    <row r="3" spans="1:23" x14ac:dyDescent="0.25">
      <c r="R3" s="3"/>
      <c r="S3" s="3"/>
      <c r="T3" s="3"/>
      <c r="U3" s="3"/>
      <c r="V3" s="3"/>
      <c r="W3" s="3"/>
    </row>
    <row r="4" spans="1:23" x14ac:dyDescent="0.25">
      <c r="R4" s="3"/>
      <c r="S4" s="3"/>
      <c r="T4" s="3"/>
      <c r="U4" s="3"/>
      <c r="V4" s="3"/>
      <c r="W4" s="3"/>
    </row>
    <row r="5" spans="1:23" x14ac:dyDescent="0.25">
      <c r="R5" s="3"/>
      <c r="S5" s="3"/>
      <c r="T5" s="3"/>
      <c r="U5" s="3"/>
      <c r="V5" s="3"/>
      <c r="W5" s="3"/>
    </row>
    <row r="6" spans="1:23" x14ac:dyDescent="0.25">
      <c r="R6" s="3"/>
      <c r="S6" s="3"/>
      <c r="T6" s="3"/>
      <c r="U6" s="3"/>
      <c r="V6" s="3"/>
      <c r="W6" s="3"/>
    </row>
    <row r="7" spans="1:23" x14ac:dyDescent="0.25">
      <c r="R7" s="3"/>
      <c r="S7" s="3"/>
      <c r="T7" s="3"/>
      <c r="U7" s="3"/>
      <c r="V7" s="3"/>
      <c r="W7" s="3"/>
    </row>
    <row r="8" spans="1:23" x14ac:dyDescent="0.25">
      <c r="R8" s="3"/>
      <c r="S8" s="3"/>
      <c r="T8" s="3"/>
      <c r="U8" s="3"/>
      <c r="V8" s="3"/>
      <c r="W8" s="3"/>
    </row>
    <row r="9" spans="1:23" x14ac:dyDescent="0.25">
      <c r="R9" s="3"/>
      <c r="S9" s="3"/>
      <c r="T9" s="3"/>
      <c r="U9" s="3"/>
      <c r="V9" s="3"/>
      <c r="W9" s="3"/>
    </row>
    <row r="10" spans="1:23" x14ac:dyDescent="0.25">
      <c r="R10" s="3"/>
      <c r="S10" s="3"/>
      <c r="T10" s="3"/>
      <c r="U10" s="3"/>
      <c r="V10" s="3"/>
      <c r="W10" s="3"/>
    </row>
    <row r="11" spans="1:23" x14ac:dyDescent="0.25">
      <c r="R11" s="3"/>
      <c r="S11" s="3"/>
      <c r="T11" s="3"/>
      <c r="U11" s="3"/>
      <c r="V11" s="3"/>
      <c r="W11" s="3"/>
    </row>
    <row r="12" spans="1:23" x14ac:dyDescent="0.25">
      <c r="R12" s="3"/>
      <c r="S12" s="3"/>
      <c r="T12" s="3"/>
      <c r="U12" s="3"/>
      <c r="V12" s="3"/>
      <c r="W12" s="3"/>
    </row>
    <row r="13" spans="1:23" x14ac:dyDescent="0.25">
      <c r="R13" s="3"/>
      <c r="S13" s="3"/>
      <c r="T13" s="3"/>
      <c r="U13" s="3"/>
      <c r="V13" s="3"/>
      <c r="W13" s="3"/>
    </row>
    <row r="17" spans="2:23" x14ac:dyDescent="0.25">
      <c r="B17" s="5"/>
      <c r="N17" s="3"/>
      <c r="O17" s="3"/>
      <c r="P17" s="3"/>
      <c r="Q17" s="3"/>
    </row>
    <row r="18" spans="2:23" x14ac:dyDescent="0.25">
      <c r="B18" s="5"/>
    </row>
    <row r="19" spans="2:23" x14ac:dyDescent="0.25">
      <c r="B19" s="5"/>
    </row>
    <row r="20" spans="2:23" x14ac:dyDescent="0.25">
      <c r="B20" s="5"/>
    </row>
    <row r="21" spans="2:23" x14ac:dyDescent="0.25">
      <c r="B21" s="5"/>
    </row>
    <row r="22" spans="2:23" x14ac:dyDescent="0.25">
      <c r="B22" s="5"/>
    </row>
    <row r="23" spans="2:23" x14ac:dyDescent="0.25">
      <c r="B23" s="5"/>
    </row>
    <row r="24" spans="2:23" x14ac:dyDescent="0.25">
      <c r="B24" s="5"/>
    </row>
    <row r="25" spans="2:23" x14ac:dyDescent="0.25">
      <c r="B25" s="5"/>
    </row>
    <row r="26" spans="2:23" x14ac:dyDescent="0.25">
      <c r="B26" s="5"/>
    </row>
    <row r="27" spans="2:23" x14ac:dyDescent="0.25">
      <c r="B27" s="5"/>
    </row>
    <row r="28" spans="2:23" x14ac:dyDescent="0.25">
      <c r="B28" s="5"/>
    </row>
    <row r="29" spans="2:23" x14ac:dyDescent="0.25">
      <c r="B29" s="5"/>
    </row>
    <row r="30" spans="2:23" x14ac:dyDescent="0.25">
      <c r="B30" s="5"/>
    </row>
    <row r="31" spans="2:23" x14ac:dyDescent="0.25">
      <c r="B31" s="5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45" spans="18:23" x14ac:dyDescent="0.25">
      <c r="R45" s="3"/>
      <c r="S45" s="3"/>
      <c r="T45" s="3"/>
      <c r="U45" s="3"/>
      <c r="V45" s="3"/>
      <c r="W45" s="3"/>
    </row>
  </sheetData>
  <phoneticPr fontId="2" type="noConversion"/>
  <conditionalFormatting sqref="L17:Q17 R45:W45 L31:W31 L1:Q2">
    <cfRule type="expression" dxfId="2" priority="3">
      <formula>MOD(ROW(),2)=0</formula>
    </cfRule>
  </conditionalFormatting>
  <conditionalFormatting sqref="H2">
    <cfRule type="expression" dxfId="1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Boryaxta</cp:lastModifiedBy>
  <cp:lastPrinted>2022-03-22T10:33:10Z</cp:lastPrinted>
  <dcterms:created xsi:type="dcterms:W3CDTF">2020-06-29T21:30:31Z</dcterms:created>
  <dcterms:modified xsi:type="dcterms:W3CDTF">2023-12-20T23:51:04Z</dcterms:modified>
</cp:coreProperties>
</file>